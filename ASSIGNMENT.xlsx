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2090b621d99abe/Documents/"/>
    </mc:Choice>
  </mc:AlternateContent>
  <xr:revisionPtr revIDLastSave="97" documentId="8_{63B42533-E2FD-4038-87A0-BB5C7BB9C799}" xr6:coauthVersionLast="47" xr6:coauthVersionMax="47" xr10:uidLastSave="{6C7AE0CA-F99A-49B6-9EB2-EAF5E078A7DE}"/>
  <bookViews>
    <workbookView xWindow="-120" yWindow="-120" windowWidth="29040" windowHeight="15720" xr2:uid="{AD80BA77-3742-45E4-BB05-36CC74685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H2" i="1"/>
  <c r="O13" i="1"/>
  <c r="O1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O6" i="1"/>
  <c r="O5" i="1"/>
  <c r="O4" i="1"/>
</calcChain>
</file>

<file path=xl/sharedStrings.xml><?xml version="1.0" encoding="utf-8"?>
<sst xmlns="http://schemas.openxmlformats.org/spreadsheetml/2006/main" count="216" uniqueCount="127">
  <si>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</si>
  <si>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</si>
  <si>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</si>
  <si>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</si>
  <si>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</si>
  <si>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</si>
  <si>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</si>
  <si>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</si>
  <si>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</si>
  <si>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</si>
  <si>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</si>
  <si>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</si>
  <si>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</si>
  <si>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</si>
  <si>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Coffee Maker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</si>
  <si>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</si>
  <si>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</si>
  <si>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</si>
  <si>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</si>
  <si>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</si>
  <si>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</si>
  <si>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</si>
  <si>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</si>
  <si>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</si>
  <si>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</si>
  <si>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</si>
  <si>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</si>
  <si>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</si>
  <si>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</si>
  <si>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</si>
  <si>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</si>
  <si>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</si>
  <si>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</si>
  <si>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</si>
  <si>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</si>
  <si>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</si>
  <si>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</si>
  <si>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</si>
  <si>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</si>
  <si>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</si>
  <si>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</si>
  <si>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</si>
  <si>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</si>
  <si>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</si>
  <si>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</si>
  <si>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</si>
  <si>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</si>
  <si>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</si>
  <si>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</si>
  <si>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</si>
  <si>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</si>
  <si>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</si>
  <si>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</si>
  <si>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</si>
  <si>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</si>
  <si>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</si>
  <si>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</si>
  <si>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</si>
  <si>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</si>
  <si>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</si>
  <si>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</si>
  <si>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</si>
  <si>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</si>
  <si>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</si>
  <si>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</si>
  <si>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</si>
  <si>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</si>
  <si>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</si>
  <si>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</si>
  <si>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</si>
  <si>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</si>
  <si>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</si>
  <si>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</si>
  <si>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</si>
  <si>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</si>
  <si>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</si>
  <si>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</si>
  <si>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</si>
  <si>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</si>
  <si>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</si>
  <si>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</si>
  <si>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</si>
  <si>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</si>
  <si>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</si>
  <si>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</si>
  <si>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</si>
  <si>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</si>
  <si>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</si>
  <si>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</si>
  <si>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</si>
  <si>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</si>
  <si>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</t>
  </si>
  <si>
    <t>AVERAGE PRICE</t>
  </si>
  <si>
    <t>SUM COUNT AVERAGE</t>
  </si>
  <si>
    <t>MIN</t>
  </si>
  <si>
    <t>MAX</t>
  </si>
  <si>
    <t>PRICE RANGE</t>
  </si>
  <si>
    <t xml:space="preserve">        SUMIF AND COUNTIF</t>
  </si>
  <si>
    <t>TOTAL PRICE OF ELECTRONICS</t>
  </si>
  <si>
    <t>PRODUCT WITH A PRICE LESS THAN 100</t>
  </si>
  <si>
    <t>DAY</t>
  </si>
  <si>
    <t>COUNTRY</t>
  </si>
  <si>
    <t>MONTH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</si>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</sst>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Bahnschrift SemiBold"/>
      <family val="2"/>
    </font>
    <font>
      <b/>
      <sz val="10"/>
      <color theme="1"/>
      <name val="Arial"/>
      <family val="2"/>
    </font>
    <font>
      <b/>
      <sz val="11"/>
      <color theme="1"/>
      <name val="Bahnschrift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3" borderId="0" xfId="0" applyFont="1" applyFill="1"/>
    <xf numFmtId="0" fontId="0" fillId="0" borderId="1" xfId="0" applyBorder="1"/>
    <xf numFmtId="0" fontId="4" fillId="0" borderId="1" xfId="0" applyFont="1" applyBorder="1"/>
    <xf numFmtId="0" fontId="3" fillId="0" borderId="1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7" fillId="0" borderId="1" xfId="0" applyFont="1" applyBorder="1"/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0" borderId="0" xfId="0" applyNumberFormat="1" applyFont="1"/>
  </cellXfs>
  <cellStyles count="1">
    <cellStyle name="Normal" xfId="0" builtinId="0"/>
  </cellStyles>
  <dxfs count="56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729D0-C9A1-4037-B5C5-4359BB768D9C}">
  <dimension ref="A1:U34"/>
  <sheetViews>
    <sheetView tabSelected="1" zoomScaleNormal="100" workbookViewId="0">
      <selection activeCell="O4" sqref="O4"/>
    </sheetView>
  </sheetViews>
  <sheetFormatPr defaultRowHeight="15" x14ac:dyDescent="0.25"/>
  <cols>
    <col min="1" max="4" width="11.5703125" customWidth="1"/>
    <col min="5" max="5" width="15.7109375" customWidth="1"/>
    <col min="6" max="6" width="13.7109375" customWidth="1"/>
    <col min="7" max="7" width="10.7109375" customWidth="1"/>
    <col min="8" max="8" width="17.5703125" customWidth="1"/>
    <col min="9" max="10" width="11" customWidth="1"/>
    <col min="12" max="12" width="9.140625" customWidth="1"/>
    <col min="13" max="13" width="7.42578125" customWidth="1"/>
    <col min="14" max="14" width="36" customWidth="1"/>
    <col min="15" max="15" width="22.85546875" customWidth="1"/>
  </cols>
  <sheetData>
    <row r="1" spans="1:15" s="11" customFormat="1" x14ac:dyDescent="0.25">
      <c r="A1" s="9" t="s">
        <v>0</v>
      </c>
      <c r="B1" s="10" t="s">
        <v>100</v>
      </c>
      <c r="C1" s="10" t="s">
        <v>101</v>
      </c>
      <c r="D1" s="10" t="s">
        <v>102</v>
      </c>
      <c r="E1" s="9" t="s">
        <v>1</v>
      </c>
      <c r="F1" s="9" t="s">
        <v>2</v>
      </c>
      <c r="G1" s="9" t="s">
        <v>3</v>
      </c>
      <c r="H1" s="10" t="s">
        <v>96</v>
      </c>
      <c r="I1" s="9" t="s">
        <v>4</v>
      </c>
      <c r="J1" s="9" t="s">
        <v>5</v>
      </c>
    </row>
    <row r="2" spans="1:15" x14ac:dyDescent="0.25">
      <c r="A2" s="1" t="s">
        <v>6</v>
      </c>
      <c r="B2" s="12">
        <v>28</v>
      </c>
      <c r="C2" s="1" t="s">
        <v>103</v>
      </c>
      <c r="D2" s="1" t="s">
        <v>115</v>
      </c>
      <c r="E2" s="1" t="s">
        <v>7</v>
      </c>
      <c r="F2" s="1" t="s">
        <v>8</v>
      </c>
      <c r="G2" s="1">
        <v>1000</v>
      </c>
      <c r="H2" s="1" t="str">
        <f>IF(G2&gt;=500,"HIGH PRICE","STANDARD PRICE")</f>
        <v>HIGH PRICE</v>
      </c>
      <c r="I2" s="1">
        <v>30</v>
      </c>
      <c r="J2" s="1" t="s">
        <v>9</v>
      </c>
      <c r="N2" s="6" t="s">
        <v>93</v>
      </c>
      <c r="O2" s="7"/>
    </row>
    <row r="3" spans="1:15" x14ac:dyDescent="0.25">
      <c r="A3" s="2" t="s">
        <v>10</v>
      </c>
      <c r="B3" s="12">
        <v>15</v>
      </c>
      <c r="C3" s="1" t="s">
        <v>103</v>
      </c>
      <c r="D3" s="1" t="s">
        <v>116</v>
      </c>
      <c r="E3" s="2" t="s">
        <v>11</v>
      </c>
      <c r="F3" s="2" t="s">
        <v>12</v>
      </c>
      <c r="G3" s="2">
        <v>80</v>
      </c>
      <c r="H3" s="2" t="str">
        <f>IF(G3&gt;=500,"HIGH PRICE","STANDARD PRICE")</f>
        <v>STANDARD PRICE</v>
      </c>
      <c r="I3" s="2">
        <v>15</v>
      </c>
      <c r="J3" s="2" t="s">
        <v>13</v>
      </c>
      <c r="N3" s="4" t="s">
        <v>91</v>
      </c>
      <c r="O3" s="3">
        <f>SUM(G2:G34)</f>
        <v>9970</v>
      </c>
    </row>
    <row r="4" spans="1:15" x14ac:dyDescent="0.25">
      <c r="A4" s="2" t="s">
        <v>16</v>
      </c>
      <c r="B4" s="12">
        <v>11</v>
      </c>
      <c r="C4" s="1" t="s">
        <v>103</v>
      </c>
      <c r="D4" s="1" t="s">
        <v>117</v>
      </c>
      <c r="E4" s="2" t="s">
        <v>17</v>
      </c>
      <c r="F4" s="2" t="s">
        <v>18</v>
      </c>
      <c r="G4" s="2">
        <v>900</v>
      </c>
      <c r="H4" s="2" t="str">
        <f t="shared" ref="H4:H34" si="0">IF(G4&gt;=500,"HIGH PRICE","STANDARD PRICE")</f>
        <v>HIGH PRICE</v>
      </c>
      <c r="I4" s="2">
        <v>25</v>
      </c>
      <c r="J4" s="2" t="s">
        <v>9</v>
      </c>
      <c r="N4" s="4" t="s">
        <v>92</v>
      </c>
      <c r="O4" s="3">
        <f>AVERAGE(G2:G34)</f>
        <v>302.12121212121212</v>
      </c>
    </row>
    <row r="5" spans="1:15" x14ac:dyDescent="0.25">
      <c r="A5" s="1" t="s">
        <v>19</v>
      </c>
      <c r="B5" s="12">
        <v>22</v>
      </c>
      <c r="C5" s="1" t="s">
        <v>103</v>
      </c>
      <c r="D5" s="1" t="s">
        <v>118</v>
      </c>
      <c r="E5" s="1" t="s">
        <v>20</v>
      </c>
      <c r="F5" s="1" t="s">
        <v>21</v>
      </c>
      <c r="G5" s="1">
        <v>70</v>
      </c>
      <c r="H5" s="1" t="str">
        <f t="shared" si="0"/>
        <v>STANDARD PRICE</v>
      </c>
      <c r="I5" s="1">
        <v>20</v>
      </c>
      <c r="J5" s="1" t="s">
        <v>22</v>
      </c>
      <c r="N5" s="5" t="s">
        <v>94</v>
      </c>
      <c r="O5" s="3">
        <f>MIN(G2:G34)</f>
        <v>30</v>
      </c>
    </row>
    <row r="6" spans="1:15" x14ac:dyDescent="0.25">
      <c r="A6" s="2" t="s">
        <v>23</v>
      </c>
      <c r="B6" s="12">
        <v>7</v>
      </c>
      <c r="C6" s="1" t="s">
        <v>104</v>
      </c>
      <c r="D6" s="1" t="s">
        <v>119</v>
      </c>
      <c r="E6" s="2" t="s">
        <v>24</v>
      </c>
      <c r="F6" s="2" t="s">
        <v>25</v>
      </c>
      <c r="G6" s="2">
        <v>200</v>
      </c>
      <c r="H6" s="2" t="str">
        <f t="shared" si="0"/>
        <v>STANDARD PRICE</v>
      </c>
      <c r="I6" s="2">
        <v>45</v>
      </c>
      <c r="J6" s="2" t="s">
        <v>9</v>
      </c>
      <c r="N6" s="5" t="s">
        <v>95</v>
      </c>
      <c r="O6" s="3">
        <f>MAX(G2:G34)</f>
        <v>1000</v>
      </c>
    </row>
    <row r="7" spans="1:15" x14ac:dyDescent="0.25">
      <c r="A7" s="1" t="s">
        <v>26</v>
      </c>
      <c r="B7" s="12">
        <v>19</v>
      </c>
      <c r="C7" s="1" t="s">
        <v>104</v>
      </c>
      <c r="D7" s="1" t="s">
        <v>120</v>
      </c>
      <c r="E7" s="1" t="s">
        <v>27</v>
      </c>
      <c r="F7" s="1" t="s">
        <v>28</v>
      </c>
      <c r="G7" s="1">
        <v>30</v>
      </c>
      <c r="H7" s="1" t="str">
        <f t="shared" si="0"/>
        <v>STANDARD PRICE</v>
      </c>
      <c r="I7" s="1">
        <v>5</v>
      </c>
      <c r="J7" s="1" t="s">
        <v>13</v>
      </c>
      <c r="N7" s="3"/>
      <c r="O7" s="3"/>
    </row>
    <row r="8" spans="1:15" x14ac:dyDescent="0.25">
      <c r="A8" s="2" t="s">
        <v>29</v>
      </c>
      <c r="B8" s="12">
        <v>23</v>
      </c>
      <c r="C8" s="1" t="s">
        <v>104</v>
      </c>
      <c r="D8" s="1" t="s">
        <v>121</v>
      </c>
      <c r="E8" s="2" t="s">
        <v>30</v>
      </c>
      <c r="F8" s="2" t="s">
        <v>31</v>
      </c>
      <c r="G8" s="2">
        <v>90</v>
      </c>
      <c r="H8" s="2" t="str">
        <f t="shared" si="0"/>
        <v>STANDARD PRICE</v>
      </c>
      <c r="I8" s="2">
        <v>35</v>
      </c>
      <c r="J8" s="2" t="s">
        <v>15</v>
      </c>
    </row>
    <row r="9" spans="1:15" x14ac:dyDescent="0.25">
      <c r="A9" s="1" t="s">
        <v>32</v>
      </c>
      <c r="B9" s="12">
        <v>5</v>
      </c>
      <c r="C9" s="1" t="s">
        <v>104</v>
      </c>
      <c r="D9" s="1" t="s">
        <v>122</v>
      </c>
      <c r="E9" s="1" t="s">
        <v>33</v>
      </c>
      <c r="F9" s="1" t="s">
        <v>34</v>
      </c>
      <c r="G9" s="1">
        <v>500</v>
      </c>
      <c r="H9" s="1" t="str">
        <f t="shared" si="0"/>
        <v>HIGH PRICE</v>
      </c>
      <c r="I9" s="1">
        <v>50</v>
      </c>
      <c r="J9" s="1" t="s">
        <v>9</v>
      </c>
    </row>
    <row r="10" spans="1:15" x14ac:dyDescent="0.25">
      <c r="A10" s="2" t="s">
        <v>35</v>
      </c>
      <c r="B10" s="12">
        <v>14</v>
      </c>
      <c r="C10" s="1" t="s">
        <v>104</v>
      </c>
      <c r="D10" s="1" t="s">
        <v>123</v>
      </c>
      <c r="E10" s="2" t="s">
        <v>36</v>
      </c>
      <c r="F10" s="2" t="s">
        <v>37</v>
      </c>
      <c r="G10" s="2">
        <v>130</v>
      </c>
      <c r="H10" s="2" t="str">
        <f t="shared" si="0"/>
        <v>STANDARD PRICE</v>
      </c>
      <c r="I10" s="2">
        <v>10</v>
      </c>
      <c r="J10" s="2" t="s">
        <v>22</v>
      </c>
    </row>
    <row r="11" spans="1:15" x14ac:dyDescent="0.25">
      <c r="A11" s="1" t="s">
        <v>38</v>
      </c>
      <c r="B11" s="12">
        <v>17</v>
      </c>
      <c r="C11" s="1" t="s">
        <v>105</v>
      </c>
      <c r="D11" s="1" t="s">
        <v>119</v>
      </c>
      <c r="E11" s="1" t="s">
        <v>7</v>
      </c>
      <c r="F11" s="1" t="s">
        <v>39</v>
      </c>
      <c r="G11" s="1">
        <v>950</v>
      </c>
      <c r="H11" s="1" t="str">
        <f t="shared" si="0"/>
        <v>HIGH PRICE</v>
      </c>
      <c r="I11" s="1">
        <v>25</v>
      </c>
      <c r="J11" s="1" t="s">
        <v>9</v>
      </c>
      <c r="N11" s="8" t="s">
        <v>97</v>
      </c>
      <c r="O11" s="3"/>
    </row>
    <row r="12" spans="1:15" x14ac:dyDescent="0.25">
      <c r="A12" s="2" t="s">
        <v>40</v>
      </c>
      <c r="B12" s="12">
        <v>25</v>
      </c>
      <c r="C12" s="1" t="s">
        <v>106</v>
      </c>
      <c r="D12" s="1" t="s">
        <v>124</v>
      </c>
      <c r="E12" s="2" t="s">
        <v>11</v>
      </c>
      <c r="F12" s="2" t="s">
        <v>28</v>
      </c>
      <c r="G12" s="2">
        <v>90</v>
      </c>
      <c r="H12" s="2" t="str">
        <f t="shared" si="0"/>
        <v>STANDARD PRICE</v>
      </c>
      <c r="I12" s="2">
        <v>40</v>
      </c>
      <c r="J12" s="2" t="s">
        <v>13</v>
      </c>
      <c r="N12" s="5" t="s">
        <v>98</v>
      </c>
      <c r="O12" s="3">
        <f>SUMIF(J2:J34,J2,G2:G34)</f>
        <v>8050</v>
      </c>
    </row>
    <row r="13" spans="1:15" x14ac:dyDescent="0.25">
      <c r="A13" s="1" t="s">
        <v>41</v>
      </c>
      <c r="B13" s="12">
        <v>8</v>
      </c>
      <c r="C13" s="1" t="s">
        <v>107</v>
      </c>
      <c r="D13" s="1" t="s">
        <v>125</v>
      </c>
      <c r="E13" s="1" t="s">
        <v>14</v>
      </c>
      <c r="F13" s="1" t="s">
        <v>42</v>
      </c>
      <c r="G13" s="1">
        <v>120</v>
      </c>
      <c r="H13" s="1" t="str">
        <f t="shared" si="0"/>
        <v>STANDARD PRICE</v>
      </c>
      <c r="I13" s="1">
        <v>35</v>
      </c>
      <c r="J13" s="1" t="s">
        <v>15</v>
      </c>
      <c r="N13" s="3" t="s">
        <v>99</v>
      </c>
      <c r="O13" s="3">
        <f>COUNTIF(J2:J34,J2)</f>
        <v>15</v>
      </c>
    </row>
    <row r="14" spans="1:15" x14ac:dyDescent="0.25">
      <c r="A14" s="2" t="s">
        <v>43</v>
      </c>
      <c r="B14" s="12">
        <v>18</v>
      </c>
      <c r="C14" s="1" t="s">
        <v>108</v>
      </c>
      <c r="D14" s="1" t="s">
        <v>116</v>
      </c>
      <c r="E14" s="2" t="s">
        <v>44</v>
      </c>
      <c r="F14" s="2" t="s">
        <v>45</v>
      </c>
      <c r="G14" s="2">
        <v>150</v>
      </c>
      <c r="H14" s="2" t="str">
        <f t="shared" si="0"/>
        <v>STANDARD PRICE</v>
      </c>
      <c r="I14" s="2">
        <v>15</v>
      </c>
      <c r="J14" s="2" t="s">
        <v>9</v>
      </c>
      <c r="N14" s="3"/>
      <c r="O14" s="3"/>
    </row>
    <row r="15" spans="1:15" x14ac:dyDescent="0.25">
      <c r="A15" s="1" t="s">
        <v>46</v>
      </c>
      <c r="B15" s="12">
        <v>16</v>
      </c>
      <c r="C15" s="1" t="s">
        <v>109</v>
      </c>
      <c r="D15" s="1" t="s">
        <v>117</v>
      </c>
      <c r="E15" s="1" t="s">
        <v>24</v>
      </c>
      <c r="F15" s="1" t="s">
        <v>47</v>
      </c>
      <c r="G15" s="1">
        <v>250</v>
      </c>
      <c r="H15" s="1" t="str">
        <f t="shared" si="0"/>
        <v>STANDARD PRICE</v>
      </c>
      <c r="I15" s="1">
        <v>20</v>
      </c>
      <c r="J15" s="1" t="s">
        <v>9</v>
      </c>
    </row>
    <row r="16" spans="1:15" x14ac:dyDescent="0.25">
      <c r="A16" s="2" t="s">
        <v>48</v>
      </c>
      <c r="B16" s="12">
        <v>21</v>
      </c>
      <c r="C16" s="1" t="s">
        <v>108</v>
      </c>
      <c r="D16" s="1" t="s">
        <v>121</v>
      </c>
      <c r="E16" s="2" t="s">
        <v>49</v>
      </c>
      <c r="F16" s="2" t="s">
        <v>50</v>
      </c>
      <c r="G16" s="2">
        <v>50</v>
      </c>
      <c r="H16" s="2" t="str">
        <f t="shared" si="0"/>
        <v>STANDARD PRICE</v>
      </c>
      <c r="I16" s="2">
        <v>35</v>
      </c>
      <c r="J16" s="2" t="s">
        <v>51</v>
      </c>
    </row>
    <row r="17" spans="1:10" x14ac:dyDescent="0.25">
      <c r="A17" s="1" t="s">
        <v>52</v>
      </c>
      <c r="B17" s="12">
        <v>20</v>
      </c>
      <c r="C17" s="1" t="s">
        <v>110</v>
      </c>
      <c r="D17" s="1" t="s">
        <v>121</v>
      </c>
      <c r="E17" s="1" t="s">
        <v>44</v>
      </c>
      <c r="F17" s="1" t="s">
        <v>53</v>
      </c>
      <c r="G17" s="1">
        <v>160</v>
      </c>
      <c r="H17" s="1" t="str">
        <f t="shared" si="0"/>
        <v>STANDARD PRICE</v>
      </c>
      <c r="I17" s="1">
        <v>15</v>
      </c>
      <c r="J17" s="1" t="s">
        <v>9</v>
      </c>
    </row>
    <row r="18" spans="1:10" x14ac:dyDescent="0.25">
      <c r="A18" s="2" t="s">
        <v>54</v>
      </c>
      <c r="B18" s="12">
        <v>27</v>
      </c>
      <c r="C18" s="1" t="s">
        <v>111</v>
      </c>
      <c r="D18" s="1" t="s">
        <v>115</v>
      </c>
      <c r="E18" s="2" t="s">
        <v>7</v>
      </c>
      <c r="F18" s="2" t="s">
        <v>55</v>
      </c>
      <c r="G18" s="2">
        <v>980</v>
      </c>
      <c r="H18" s="2" t="str">
        <f t="shared" si="0"/>
        <v>HIGH PRICE</v>
      </c>
      <c r="I18" s="2">
        <v>10</v>
      </c>
      <c r="J18" s="2" t="s">
        <v>9</v>
      </c>
    </row>
    <row r="19" spans="1:10" x14ac:dyDescent="0.25">
      <c r="A19" s="1" t="s">
        <v>56</v>
      </c>
      <c r="B19" s="12">
        <v>1</v>
      </c>
      <c r="C19" s="1" t="s">
        <v>104</v>
      </c>
      <c r="D19" s="1" t="s">
        <v>126</v>
      </c>
      <c r="E19" s="1" t="s">
        <v>57</v>
      </c>
      <c r="F19" s="1" t="s">
        <v>58</v>
      </c>
      <c r="G19" s="1">
        <v>150</v>
      </c>
      <c r="H19" s="1" t="str">
        <f t="shared" si="0"/>
        <v>STANDARD PRICE</v>
      </c>
      <c r="I19" s="1">
        <v>15</v>
      </c>
      <c r="J19" s="1" t="s">
        <v>13</v>
      </c>
    </row>
    <row r="20" spans="1:10" x14ac:dyDescent="0.25">
      <c r="A20" s="2" t="s">
        <v>59</v>
      </c>
      <c r="B20" s="12">
        <v>14</v>
      </c>
      <c r="C20" s="1" t="s">
        <v>103</v>
      </c>
      <c r="D20" s="1" t="s">
        <v>121</v>
      </c>
      <c r="E20" s="2" t="s">
        <v>60</v>
      </c>
      <c r="F20" s="2" t="s">
        <v>61</v>
      </c>
      <c r="G20" s="2">
        <v>200</v>
      </c>
      <c r="H20" s="2" t="str">
        <f t="shared" si="0"/>
        <v>STANDARD PRICE</v>
      </c>
      <c r="I20" s="2">
        <v>10</v>
      </c>
      <c r="J20" s="2" t="s">
        <v>22</v>
      </c>
    </row>
    <row r="21" spans="1:10" x14ac:dyDescent="0.25">
      <c r="A21" s="1" t="s">
        <v>62</v>
      </c>
      <c r="B21" s="12">
        <v>14</v>
      </c>
      <c r="C21" s="1" t="s">
        <v>112</v>
      </c>
      <c r="D21" s="1" t="s">
        <v>118</v>
      </c>
      <c r="E21" s="1" t="s">
        <v>63</v>
      </c>
      <c r="F21" s="1" t="s">
        <v>64</v>
      </c>
      <c r="G21" s="1">
        <v>700</v>
      </c>
      <c r="H21" s="1" t="str">
        <f t="shared" si="0"/>
        <v>HIGH PRICE</v>
      </c>
      <c r="I21" s="1">
        <v>50</v>
      </c>
      <c r="J21" s="1" t="s">
        <v>9</v>
      </c>
    </row>
    <row r="22" spans="1:10" x14ac:dyDescent="0.25">
      <c r="A22" s="2" t="s">
        <v>65</v>
      </c>
      <c r="B22" s="12">
        <v>9</v>
      </c>
      <c r="C22" s="1" t="s">
        <v>108</v>
      </c>
      <c r="D22" s="1" t="s">
        <v>115</v>
      </c>
      <c r="E22" s="2" t="s">
        <v>66</v>
      </c>
      <c r="F22" s="2" t="s">
        <v>67</v>
      </c>
      <c r="G22" s="2">
        <v>80</v>
      </c>
      <c r="H22" s="2" t="str">
        <f t="shared" si="0"/>
        <v>STANDARD PRICE</v>
      </c>
      <c r="I22" s="2">
        <v>20</v>
      </c>
      <c r="J22" s="2" t="s">
        <v>15</v>
      </c>
    </row>
    <row r="23" spans="1:10" x14ac:dyDescent="0.25">
      <c r="A23" s="1" t="s">
        <v>68</v>
      </c>
      <c r="B23" s="12">
        <v>19</v>
      </c>
      <c r="C23" s="1" t="s">
        <v>113</v>
      </c>
      <c r="D23" s="1" t="s">
        <v>120</v>
      </c>
      <c r="E23" s="1" t="s">
        <v>69</v>
      </c>
      <c r="F23" s="1" t="s">
        <v>70</v>
      </c>
      <c r="G23" s="1">
        <v>150</v>
      </c>
      <c r="H23" s="1" t="str">
        <f t="shared" si="0"/>
        <v>STANDARD PRICE</v>
      </c>
      <c r="I23" s="1">
        <v>30</v>
      </c>
      <c r="J23" s="1" t="s">
        <v>9</v>
      </c>
    </row>
    <row r="24" spans="1:10" x14ac:dyDescent="0.25">
      <c r="A24" s="2" t="s">
        <v>48</v>
      </c>
      <c r="B24" s="12">
        <v>21</v>
      </c>
      <c r="C24" s="1" t="s">
        <v>108</v>
      </c>
      <c r="D24" s="1" t="s">
        <v>121</v>
      </c>
      <c r="E24" s="2" t="s">
        <v>49</v>
      </c>
      <c r="F24" s="2" t="s">
        <v>50</v>
      </c>
      <c r="G24" s="2">
        <v>50</v>
      </c>
      <c r="H24" s="2" t="str">
        <f t="shared" si="0"/>
        <v>STANDARD PRICE</v>
      </c>
      <c r="I24" s="2">
        <v>35</v>
      </c>
      <c r="J24" s="2" t="s">
        <v>51</v>
      </c>
    </row>
    <row r="25" spans="1:10" x14ac:dyDescent="0.25">
      <c r="A25" s="1" t="s">
        <v>71</v>
      </c>
      <c r="B25" s="12">
        <v>29</v>
      </c>
      <c r="C25" s="1" t="s">
        <v>108</v>
      </c>
      <c r="D25" s="1" t="s">
        <v>122</v>
      </c>
      <c r="E25" s="1" t="s">
        <v>17</v>
      </c>
      <c r="F25" s="1" t="s">
        <v>72</v>
      </c>
      <c r="G25" s="1">
        <v>800</v>
      </c>
      <c r="H25" s="1" t="str">
        <f t="shared" si="0"/>
        <v>HIGH PRICE</v>
      </c>
      <c r="I25" s="1">
        <v>45</v>
      </c>
      <c r="J25" s="1" t="s">
        <v>9</v>
      </c>
    </row>
    <row r="26" spans="1:10" x14ac:dyDescent="0.25">
      <c r="A26" s="2" t="s">
        <v>73</v>
      </c>
      <c r="B26" s="12">
        <v>3</v>
      </c>
      <c r="C26" s="1" t="s">
        <v>108</v>
      </c>
      <c r="D26" s="1" t="s">
        <v>119</v>
      </c>
      <c r="E26" s="2" t="s">
        <v>57</v>
      </c>
      <c r="F26" s="2" t="s">
        <v>74</v>
      </c>
      <c r="G26" s="2">
        <v>130</v>
      </c>
      <c r="H26" s="2" t="str">
        <f t="shared" si="0"/>
        <v>STANDARD PRICE</v>
      </c>
      <c r="I26" s="2">
        <v>25</v>
      </c>
      <c r="J26" s="2" t="s">
        <v>13</v>
      </c>
    </row>
    <row r="27" spans="1:10" x14ac:dyDescent="0.25">
      <c r="A27" s="1" t="s">
        <v>75</v>
      </c>
      <c r="B27" s="12">
        <v>11</v>
      </c>
      <c r="C27" s="1" t="s">
        <v>108</v>
      </c>
      <c r="D27" s="1" t="s">
        <v>120</v>
      </c>
      <c r="E27" s="1" t="s">
        <v>30</v>
      </c>
      <c r="F27" s="1" t="s">
        <v>76</v>
      </c>
      <c r="G27" s="1">
        <v>400</v>
      </c>
      <c r="H27" s="1" t="str">
        <f t="shared" si="0"/>
        <v>STANDARD PRICE</v>
      </c>
      <c r="I27" s="1">
        <v>40</v>
      </c>
      <c r="J27" s="1" t="s">
        <v>15</v>
      </c>
    </row>
    <row r="28" spans="1:10" x14ac:dyDescent="0.25">
      <c r="A28" s="2" t="s">
        <v>46</v>
      </c>
      <c r="B28" s="12">
        <v>16</v>
      </c>
      <c r="C28" s="1" t="s">
        <v>109</v>
      </c>
      <c r="D28" s="1" t="s">
        <v>117</v>
      </c>
      <c r="E28" s="2" t="s">
        <v>24</v>
      </c>
      <c r="F28" s="2" t="s">
        <v>47</v>
      </c>
      <c r="G28" s="2">
        <v>230</v>
      </c>
      <c r="H28" s="2" t="str">
        <f t="shared" si="0"/>
        <v>STANDARD PRICE</v>
      </c>
      <c r="I28" s="2">
        <v>20</v>
      </c>
      <c r="J28" s="2" t="s">
        <v>9</v>
      </c>
    </row>
    <row r="29" spans="1:10" x14ac:dyDescent="0.25">
      <c r="A29" s="1" t="s">
        <v>77</v>
      </c>
      <c r="B29" s="12">
        <v>7</v>
      </c>
      <c r="C29" s="1" t="s">
        <v>108</v>
      </c>
      <c r="D29" s="1" t="s">
        <v>126</v>
      </c>
      <c r="E29" s="1" t="s">
        <v>78</v>
      </c>
      <c r="F29" s="1" t="s">
        <v>79</v>
      </c>
      <c r="G29" s="1">
        <v>60</v>
      </c>
      <c r="H29" s="1" t="str">
        <f t="shared" si="0"/>
        <v>STANDARD PRICE</v>
      </c>
      <c r="I29" s="1">
        <v>30</v>
      </c>
      <c r="J29" s="1" t="s">
        <v>13</v>
      </c>
    </row>
    <row r="30" spans="1:10" x14ac:dyDescent="0.25">
      <c r="A30" s="2" t="s">
        <v>80</v>
      </c>
      <c r="B30" s="12">
        <v>13</v>
      </c>
      <c r="C30" s="1" t="s">
        <v>108</v>
      </c>
      <c r="D30" s="1" t="s">
        <v>117</v>
      </c>
      <c r="E30" s="2" t="s">
        <v>81</v>
      </c>
      <c r="F30" s="2" t="s">
        <v>82</v>
      </c>
      <c r="G30" s="2">
        <v>40</v>
      </c>
      <c r="H30" s="2" t="str">
        <f t="shared" si="0"/>
        <v>STANDARD PRICE</v>
      </c>
      <c r="I30" s="2">
        <v>10</v>
      </c>
      <c r="J30" s="2" t="s">
        <v>15</v>
      </c>
    </row>
    <row r="31" spans="1:10" x14ac:dyDescent="0.25">
      <c r="A31" s="1" t="s">
        <v>83</v>
      </c>
      <c r="B31" s="12">
        <v>24</v>
      </c>
      <c r="C31" s="1" t="s">
        <v>108</v>
      </c>
      <c r="D31" s="1" t="s">
        <v>118</v>
      </c>
      <c r="E31" s="1" t="s">
        <v>69</v>
      </c>
      <c r="F31" s="1" t="s">
        <v>84</v>
      </c>
      <c r="G31" s="1">
        <v>130</v>
      </c>
      <c r="H31" s="1" t="str">
        <f t="shared" si="0"/>
        <v>STANDARD PRICE</v>
      </c>
      <c r="I31" s="1">
        <v>5</v>
      </c>
      <c r="J31" s="1" t="s">
        <v>9</v>
      </c>
    </row>
    <row r="32" spans="1:10" x14ac:dyDescent="0.25">
      <c r="A32" s="2" t="s">
        <v>85</v>
      </c>
      <c r="B32" s="12">
        <v>2</v>
      </c>
      <c r="C32" s="1" t="s">
        <v>108</v>
      </c>
      <c r="D32" s="1" t="s">
        <v>125</v>
      </c>
      <c r="E32" s="2" t="s">
        <v>86</v>
      </c>
      <c r="F32" s="2" t="s">
        <v>87</v>
      </c>
      <c r="G32" s="2">
        <v>50</v>
      </c>
      <c r="H32" s="2" t="str">
        <f t="shared" si="0"/>
        <v>STANDARD PRICE</v>
      </c>
      <c r="I32" s="2">
        <v>50</v>
      </c>
      <c r="J32" s="2" t="s">
        <v>13</v>
      </c>
    </row>
    <row r="33" spans="1:10" x14ac:dyDescent="0.25">
      <c r="A33" s="1" t="s">
        <v>38</v>
      </c>
      <c r="B33" s="12">
        <v>17</v>
      </c>
      <c r="C33" s="1" t="s">
        <v>105</v>
      </c>
      <c r="D33" s="1" t="s">
        <v>119</v>
      </c>
      <c r="E33" s="1" t="s">
        <v>7</v>
      </c>
      <c r="F33" s="1" t="s">
        <v>39</v>
      </c>
      <c r="G33" s="1">
        <v>950</v>
      </c>
      <c r="H33" s="1" t="str">
        <f t="shared" si="0"/>
        <v>HIGH PRICE</v>
      </c>
      <c r="I33" s="1">
        <v>25</v>
      </c>
      <c r="J33" s="1" t="s">
        <v>9</v>
      </c>
    </row>
    <row r="34" spans="1:10" x14ac:dyDescent="0.25">
      <c r="A34" s="2" t="s">
        <v>88</v>
      </c>
      <c r="B34" s="12">
        <v>9</v>
      </c>
      <c r="C34" s="1" t="s">
        <v>114</v>
      </c>
      <c r="D34" s="1" t="s">
        <v>120</v>
      </c>
      <c r="E34" s="2" t="s">
        <v>89</v>
      </c>
      <c r="F34" s="2" t="s">
        <v>90</v>
      </c>
      <c r="G34" s="2">
        <v>100</v>
      </c>
      <c r="H34" s="2" t="str">
        <f t="shared" si="0"/>
        <v>STANDARD PRICE</v>
      </c>
      <c r="I34" s="2">
        <v>20</v>
      </c>
      <c r="J34" s="2" t="s">
        <v>51</v>
      </c>
    </row>
  </sheetData>
  <mergeCells count="1">
    <mergeCell ref="N2:O2"/>
  </mergeCells>
  <phoneticPr fontId="8" type="noConversion"/>
  <conditionalFormatting sqref="E1">
    <cfRule type="containsText" dxfId="10" priority="11" operator="containsText" text="laptop">
      <formula>NOT(ISERROR(SEARCH("laptop",E1)))</formula>
    </cfRule>
  </conditionalFormatting>
  <conditionalFormatting sqref="E2:E34">
    <cfRule type="containsText" dxfId="9" priority="9" operator="containsText" text="sneakers">
      <formula>NOT(ISERROR(SEARCH("sneakers",E2)))</formula>
    </cfRule>
    <cfRule type="containsText" dxfId="8" priority="10" operator="containsText" text="Laptop">
      <formula>NOT(ISERROR(SEARCH("Laptop",E2)))</formula>
    </cfRule>
  </conditionalFormatting>
  <conditionalFormatting sqref="E2:E33">
    <cfRule type="containsText" dxfId="7" priority="8" operator="containsText" text="sneakers">
      <formula>NOT(ISERROR(SEARCH("sneakers",E2)))</formula>
    </cfRule>
  </conditionalFormatting>
  <conditionalFormatting sqref="J2:J34">
    <cfRule type="containsText" dxfId="6" priority="7" operator="containsText" text="Electronics">
      <formula>NOT(ISERROR(SEARCH("Electronics",J2)))</formula>
    </cfRule>
  </conditionalFormatting>
  <conditionalFormatting sqref="D2:D34">
    <cfRule type="containsText" dxfId="5" priority="1" operator="containsText" text="JAN,FEB,MAR,APR,MAY,JUN,JUL,AUG,SEP,OCT,NOV,DEC">
      <formula>NOT(ISERROR(SEARCH("JAN,FEB,MAR,APR,MAY,JUN,JUL,AUG,SEP,OCT,NOV,DEC",D2)))</formula>
    </cfRule>
    <cfRule type="containsText" dxfId="4" priority="5" operator="containsText" text="US">
      <formula>NOT(ISERROR(SEARCH("US",D2)))</formula>
    </cfRule>
    <cfRule type="containsText" dxfId="3" priority="6" operator="containsText" text="COUNTRY">
      <formula>NOT(ISERROR(SEARCH("COUNTRY",D2)))</formula>
    </cfRule>
  </conditionalFormatting>
  <conditionalFormatting sqref="C2:C34">
    <cfRule type="containsText" dxfId="2" priority="3" operator="containsText" text="UK">
      <formula>NOT(ISERROR(SEARCH("UK",C2)))</formula>
    </cfRule>
    <cfRule type="containsText" dxfId="1" priority="4" operator="containsText" text="US">
      <formula>NOT(ISERROR(SEARCH("US",C2)))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 raj</dc:creator>
  <cp:lastModifiedBy>Manu raj</cp:lastModifiedBy>
  <cp:lastPrinted>2026-10-28T18:38:12Z</cp:lastPrinted>
  <dcterms:created xsi:type="dcterms:W3CDTF">2026-10-28T16:27:05Z</dcterms:created>
  <dcterms:modified xsi:type="dcterms:W3CDTF">2026-10-28T19:41:55Z</dcterms:modified>
</cp:coreProperties>
</file>